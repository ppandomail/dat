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00_dev\00_playground\04_TEACH\UNO\2025\clases\clase_11\"/>
    </mc:Choice>
  </mc:AlternateContent>
  <xr:revisionPtr revIDLastSave="0" documentId="13_ncr:1_{25E98754-69ED-4608-8DFA-C0E062E1D1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culad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3" i="1"/>
  <c r="C22" i="1"/>
  <c r="C16" i="1"/>
  <c r="C32" i="1" s="1"/>
  <c r="C15" i="1"/>
  <c r="B24" i="1" s="1"/>
  <c r="C14" i="1"/>
  <c r="C31" i="1" s="1"/>
  <c r="C13" i="1"/>
  <c r="C30" i="1" s="1"/>
  <c r="C12" i="1"/>
  <c r="C29" i="1" s="1"/>
  <c r="C11" i="1"/>
  <c r="C20" i="1" l="1"/>
  <c r="B20" i="1"/>
  <c r="B21" i="1"/>
  <c r="B22" i="1"/>
  <c r="C21" i="1"/>
  <c r="C23" i="1"/>
</calcChain>
</file>

<file path=xl/sharedStrings.xml><?xml version="1.0" encoding="utf-8"?>
<sst xmlns="http://schemas.openxmlformats.org/spreadsheetml/2006/main" count="64" uniqueCount="52">
  <si>
    <t>CALCULADORA DE PARTICIONES TEMPORALES</t>
  </si>
  <si>
    <t>Health Economics Challenge - Universidad Nacional del Oeste (UNO)</t>
  </si>
  <si>
    <t>PARÁMETROS DE ENTRADA</t>
  </si>
  <si>
    <t>Parámetro</t>
  </si>
  <si>
    <t>Valor</t>
  </si>
  <si>
    <t>Descripción</t>
  </si>
  <si>
    <t>presente</t>
  </si>
  <si>
    <t>Último año con datos (sin clase conocida)</t>
  </si>
  <si>
    <t>lead</t>
  </si>
  <si>
    <t>Años hacia adelante a predecir</t>
  </si>
  <si>
    <t>CÁLCULOS AUTOMÁTICOS</t>
  </si>
  <si>
    <t>Variable</t>
  </si>
  <si>
    <t>Fórmula</t>
  </si>
  <si>
    <t>max_year_con_clase</t>
  </si>
  <si>
    <t>presente - lead</t>
  </si>
  <si>
    <t>Último año donde conocemos la clase</t>
  </si>
  <si>
    <t>year_test</t>
  </si>
  <si>
    <t>Año del conjunto TEST</t>
  </si>
  <si>
    <t>year_validate</t>
  </si>
  <si>
    <t>presente - lead - 1</t>
  </si>
  <si>
    <t>Año del conjunto VALIDATE</t>
  </si>
  <si>
    <t>train_hasta</t>
  </si>
  <si>
    <t>presente - lead - 2</t>
  </si>
  <si>
    <t>Último año del TRAIN</t>
  </si>
  <si>
    <t>train_final_hasta</t>
  </si>
  <si>
    <t>Último año del TRAIN_FINAL</t>
  </si>
  <si>
    <t>year_prediccion</t>
  </si>
  <si>
    <t>presente + lead</t>
  </si>
  <si>
    <t>Año que vamos a predecir</t>
  </si>
  <si>
    <t>TABLA DE PARTICIONES</t>
  </si>
  <si>
    <t>Conjunto</t>
  </si>
  <si>
    <t>Features (años)</t>
  </si>
  <si>
    <t>Clase (años)</t>
  </si>
  <si>
    <t>Propósito</t>
  </si>
  <si>
    <t>TRAIN</t>
  </si>
  <si>
    <t>Entrenar modelo</t>
  </si>
  <si>
    <t>VALIDATE</t>
  </si>
  <si>
    <t>Early stopping / Tuning</t>
  </si>
  <si>
    <t>TEST</t>
  </si>
  <si>
    <t>Evaluar modelo</t>
  </si>
  <si>
    <t>PRESENT</t>
  </si>
  <si>
    <t>Generar predicciones</t>
  </si>
  <si>
    <t>TRAIN_FINAL</t>
  </si>
  <si>
    <t>Modelo final</t>
  </si>
  <si>
    <t>FÓRMULAS GENERALES</t>
  </si>
  <si>
    <t>Con tus valores</t>
  </si>
  <si>
    <t>TRAIN hasta</t>
  </si>
  <si>
    <t>PREDICCIÓN</t>
  </si>
  <si>
    <t>INSTRUCCIONES</t>
  </si>
  <si>
    <t>1. Modificá SOLO las celdas amarillas (B6 y B7)</t>
  </si>
  <si>
    <t>2. Todas las demás celdas se recalculan automáticamente</t>
  </si>
  <si>
    <t>3. Los colores de la tabla coinciden con el diagrama de flujo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</si>
</sst>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565C0"/>
      <name val="Cambria"/>
      <charset val="1"/>
    </font>
    <font>
      <i/>
      <sz val="11"/>
      <color rgb="FF616161"/>
      <name val="Cambria"/>
      <charset val="1"/>
    </font>
    <font>
      <b/>
      <sz val="12"/>
      <color rgb="FFC62828"/>
      <name val="Cambria"/>
      <charset val="1"/>
    </font>
    <font>
      <b/>
      <sz val="11"/>
      <name val="Cambria"/>
      <charset val="1"/>
    </font>
    <font>
      <b/>
      <sz val="12"/>
      <color rgb="FF0000FF"/>
      <name val="Cambria"/>
      <charset val="1"/>
    </font>
    <font>
      <b/>
      <sz val="12"/>
      <color rgb="FF2E7D32"/>
      <name val="Cambria"/>
      <charset val="1"/>
    </font>
    <font>
      <b/>
      <sz val="12"/>
      <name val="Cambria"/>
      <charset val="1"/>
    </font>
    <font>
      <b/>
      <sz val="12"/>
      <color rgb="FF7B1FA2"/>
      <name val="Cambria"/>
      <charset val="1"/>
    </font>
    <font>
      <b/>
      <sz val="11"/>
      <color rgb="FFFFFFFF"/>
      <name val="Cambria"/>
      <charset val="1"/>
    </font>
    <font>
      <b/>
      <sz val="12"/>
      <color rgb="FF1565C0"/>
      <name val="Cambria"/>
      <charset val="1"/>
    </font>
    <font>
      <sz val="11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ECEFF1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7474F"/>
        <bgColor rgb="FF333399"/>
      </patternFill>
    </fill>
    <fill>
      <patternFill patternType="solid">
        <fgColor rgb="FFBBDEFB"/>
        <bgColor rgb="FFC8E6C9"/>
      </patternFill>
    </fill>
    <fill>
      <patternFill patternType="solid">
        <fgColor rgb="FFE1BEE7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C8E6C9"/>
        <bgColor rgb="FFBBD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5" fillId="3" borderId="1" xfId="0" applyFont="1" applyFill="1" applyBorder="1"/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9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E1BEE7"/>
      <rgbColor rgb="FF808080"/>
      <rgbColor rgb="FF9999FF"/>
      <rgbColor rgb="FF993366"/>
      <rgbColor rgb="FFECEFF1"/>
      <rgbColor rgb="FFCCFFFF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EF6C00"/>
      <rgbColor rgb="FF616161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6" zoomScaleNormal="100" workbookViewId="0">
      <selection activeCell="B8" sqref="B8"/>
    </sheetView>
  </sheetViews>
  <sheetFormatPr defaultColWidth="8.6640625" defaultRowHeight="14.4" x14ac:dyDescent="0.3"/>
  <cols>
    <col min="1" max="3" width="22" customWidth="1"/>
    <col min="4" max="5" width="30" customWidth="1"/>
  </cols>
  <sheetData>
    <row r="1" spans="1:5" ht="20.399999999999999" x14ac:dyDescent="0.35">
      <c r="A1" s="3" t="s">
        <v>0</v>
      </c>
      <c r="B1" s="3"/>
      <c r="C1" s="3"/>
      <c r="D1" s="3"/>
      <c r="E1" s="3"/>
    </row>
    <row r="2" spans="1:5" x14ac:dyDescent="0.3">
      <c r="A2" s="2" t="s">
        <v>1</v>
      </c>
      <c r="B2" s="2"/>
      <c r="C2" s="2"/>
      <c r="D2" s="2"/>
      <c r="E2" s="2"/>
    </row>
    <row r="4" spans="1:5" ht="15.6" x14ac:dyDescent="0.3">
      <c r="A4" s="4" t="s">
        <v>2</v>
      </c>
    </row>
    <row r="5" spans="1:5" x14ac:dyDescent="0.3">
      <c r="A5" s="5" t="s">
        <v>3</v>
      </c>
      <c r="B5" s="5" t="s">
        <v>4</v>
      </c>
      <c r="C5" s="5" t="s">
        <v>5</v>
      </c>
    </row>
    <row r="6" spans="1:5" ht="15.6" x14ac:dyDescent="0.3">
      <c r="A6" s="6" t="s">
        <v>6</v>
      </c>
      <c r="B6" s="7">
        <v>2021</v>
      </c>
      <c r="C6" s="6" t="s">
        <v>7</v>
      </c>
    </row>
    <row r="7" spans="1:5" ht="15.6" x14ac:dyDescent="0.3">
      <c r="A7" s="6" t="s">
        <v>8</v>
      </c>
      <c r="B7" s="7">
        <v>1</v>
      </c>
      <c r="C7" s="6" t="s">
        <v>9</v>
      </c>
    </row>
    <row r="9" spans="1:5" ht="15.6" x14ac:dyDescent="0.3">
      <c r="A9" s="8" t="s">
        <v>10</v>
      </c>
    </row>
    <row r="10" spans="1:5" x14ac:dyDescent="0.3">
      <c r="A10" s="5" t="s">
        <v>11</v>
      </c>
      <c r="B10" s="5" t="s">
        <v>12</v>
      </c>
      <c r="C10" s="5" t="s">
        <v>4</v>
      </c>
      <c r="D10" s="5" t="s">
        <v>5</v>
      </c>
    </row>
    <row r="11" spans="1:5" ht="15.6" x14ac:dyDescent="0.3">
      <c r="A11" s="6" t="s">
        <v>13</v>
      </c>
      <c r="B11" s="6" t="s">
        <v>14</v>
      </c>
      <c r="C11" s="9">
        <f>B6-B7</f>
        <v>2020</v>
      </c>
      <c r="D11" s="6" t="s">
        <v>15</v>
      </c>
    </row>
    <row r="12" spans="1:5" ht="15.6" x14ac:dyDescent="0.3">
      <c r="A12" s="6" t="s">
        <v>16</v>
      </c>
      <c r="B12" s="6" t="s">
        <v>14</v>
      </c>
      <c r="C12" s="9">
        <f>B6-B7</f>
        <v>2020</v>
      </c>
      <c r="D12" s="6" t="s">
        <v>17</v>
      </c>
    </row>
    <row r="13" spans="1:5" ht="15.6" x14ac:dyDescent="0.3">
      <c r="A13" s="6" t="s">
        <v>18</v>
      </c>
      <c r="B13" s="6" t="s">
        <v>19</v>
      </c>
      <c r="C13" s="9">
        <f>B6-B7-1</f>
        <v>2019</v>
      </c>
      <c r="D13" s="6" t="s">
        <v>20</v>
      </c>
    </row>
    <row r="14" spans="1:5" ht="15.6" x14ac:dyDescent="0.3">
      <c r="A14" s="6" t="s">
        <v>21</v>
      </c>
      <c r="B14" s="6" t="s">
        <v>22</v>
      </c>
      <c r="C14" s="9">
        <f>B6-B7-2</f>
        <v>2018</v>
      </c>
      <c r="D14" s="6" t="s">
        <v>23</v>
      </c>
    </row>
    <row r="15" spans="1:5" ht="15.6" x14ac:dyDescent="0.3">
      <c r="A15" s="6" t="s">
        <v>24</v>
      </c>
      <c r="B15" s="6" t="s">
        <v>14</v>
      </c>
      <c r="C15" s="9">
        <f>B6-B7</f>
        <v>2020</v>
      </c>
      <c r="D15" s="6" t="s">
        <v>25</v>
      </c>
    </row>
    <row r="16" spans="1:5" ht="15.6" x14ac:dyDescent="0.3">
      <c r="A16" s="6" t="s">
        <v>26</v>
      </c>
      <c r="B16" s="6" t="s">
        <v>27</v>
      </c>
      <c r="C16" s="9">
        <f>B6+B7</f>
        <v>2022</v>
      </c>
      <c r="D16" s="6" t="s">
        <v>28</v>
      </c>
    </row>
    <row r="18" spans="1:4" ht="15.6" x14ac:dyDescent="0.3">
      <c r="A18" s="10" t="s">
        <v>29</v>
      </c>
    </row>
    <row r="19" spans="1:4" x14ac:dyDescent="0.3">
      <c r="A19" s="11" t="s">
        <v>30</v>
      </c>
      <c r="B19" s="11" t="s">
        <v>31</v>
      </c>
      <c r="C19" s="11" t="s">
        <v>32</v>
      </c>
      <c r="D19" s="11" t="s">
        <v>33</v>
      </c>
    </row>
    <row r="20" spans="1:4" x14ac:dyDescent="0.3">
      <c r="A20" s="12" t="s">
        <v>34</v>
      </c>
      <c r="B20" s="6" t="str">
        <f>"2000 - "&amp;C14</f>
        <v>2000 - 2018</v>
      </c>
      <c r="C20" s="6" t="str">
        <f>"2001 - "&amp;(C14+1)</f>
        <v>2001 - 2019</v>
      </c>
      <c r="D20" s="6" t="s">
        <v>35</v>
      </c>
    </row>
    <row r="21" spans="1:4" x14ac:dyDescent="0.3">
      <c r="A21" s="13" t="s">
        <v>36</v>
      </c>
      <c r="B21" s="6">
        <f>C13</f>
        <v>2019</v>
      </c>
      <c r="C21" s="6">
        <f>C12</f>
        <v>2020</v>
      </c>
      <c r="D21" s="6" t="s">
        <v>37</v>
      </c>
    </row>
    <row r="22" spans="1:4" x14ac:dyDescent="0.3">
      <c r="A22" s="14" t="s">
        <v>38</v>
      </c>
      <c r="B22" s="6">
        <f>C12</f>
        <v>2020</v>
      </c>
      <c r="C22" s="6">
        <f>B6</f>
        <v>2021</v>
      </c>
      <c r="D22" s="6" t="s">
        <v>39</v>
      </c>
    </row>
    <row r="23" spans="1:4" x14ac:dyDescent="0.3">
      <c r="A23" s="15" t="s">
        <v>40</v>
      </c>
      <c r="B23" s="6">
        <f>B6</f>
        <v>2021</v>
      </c>
      <c r="C23" s="6" t="str">
        <f>C16&amp;" (predecir)"</f>
        <v>2022 (predecir)</v>
      </c>
      <c r="D23" s="6" t="s">
        <v>41</v>
      </c>
    </row>
    <row r="24" spans="1:4" x14ac:dyDescent="0.3">
      <c r="A24" s="16" t="s">
        <v>42</v>
      </c>
      <c r="B24" s="6" t="str">
        <f>"2000 - "&amp;C15</f>
        <v>2000 - 2020</v>
      </c>
      <c r="C24" s="6" t="str">
        <f>"2001 - "&amp;B6</f>
        <v>2001 - 2021</v>
      </c>
      <c r="D24" s="6" t="s">
        <v>43</v>
      </c>
    </row>
    <row r="27" spans="1:4" ht="15.6" x14ac:dyDescent="0.3">
      <c r="A27" s="17" t="s">
        <v>44</v>
      </c>
    </row>
    <row r="28" spans="1:4" x14ac:dyDescent="0.3">
      <c r="A28" s="5" t="s">
        <v>11</v>
      </c>
      <c r="B28" s="5" t="s">
        <v>12</v>
      </c>
      <c r="C28" s="5" t="s">
        <v>45</v>
      </c>
    </row>
    <row r="29" spans="1:4" x14ac:dyDescent="0.3">
      <c r="A29" s="6" t="s">
        <v>38</v>
      </c>
      <c r="B29" s="6" t="s">
        <v>14</v>
      </c>
      <c r="C29" s="6" t="str">
        <f>B6&amp;" - "&amp;B7&amp;" = "&amp;C12</f>
        <v>2021 - 1 = 2020</v>
      </c>
    </row>
    <row r="30" spans="1:4" x14ac:dyDescent="0.3">
      <c r="A30" s="6" t="s">
        <v>36</v>
      </c>
      <c r="B30" s="6" t="s">
        <v>19</v>
      </c>
      <c r="C30" s="6" t="str">
        <f>B6&amp;" - "&amp;B7&amp;" - 1 = "&amp;C13</f>
        <v>2021 - 1 - 1 = 2019</v>
      </c>
    </row>
    <row r="31" spans="1:4" x14ac:dyDescent="0.3">
      <c r="A31" s="6" t="s">
        <v>46</v>
      </c>
      <c r="B31" s="6" t="s">
        <v>22</v>
      </c>
      <c r="C31" s="6" t="str">
        <f>B6&amp;" - "&amp;B7&amp;" - 2 = "&amp;C14</f>
        <v>2021 - 1 - 2 = 2018</v>
      </c>
    </row>
    <row r="32" spans="1:4" x14ac:dyDescent="0.3">
      <c r="A32" s="6" t="s">
        <v>47</v>
      </c>
      <c r="B32" s="6" t="s">
        <v>27</v>
      </c>
      <c r="C32" s="6" t="str">
        <f>B6&amp;" + "&amp;B7&amp;" = "&amp;C16</f>
        <v>2021 + 1 = 2022</v>
      </c>
    </row>
    <row r="35" spans="1:4" ht="15.6" x14ac:dyDescent="0.3">
      <c r="A35" s="4" t="s">
        <v>48</v>
      </c>
    </row>
    <row r="36" spans="1:4" x14ac:dyDescent="0.3">
      <c r="A36" s="1" t="s">
        <v>49</v>
      </c>
      <c r="B36" s="1"/>
      <c r="C36" s="1"/>
      <c r="D36" s="1"/>
    </row>
    <row r="37" spans="1:4" x14ac:dyDescent="0.3">
      <c r="A37" s="1" t="s">
        <v>50</v>
      </c>
      <c r="B37" s="1"/>
      <c r="C37" s="1"/>
      <c r="D37" s="1"/>
    </row>
    <row r="38" spans="1:4" x14ac:dyDescent="0.3">
      <c r="A38" s="1" t="s">
        <v>51</v>
      </c>
      <c r="B38" s="1"/>
      <c r="C38" s="1"/>
      <c r="D38" s="1"/>
    </row>
  </sheetData>
  <mergeCells count="5">
    <mergeCell ref="A37:D37"/>
    <mergeCell ref="A38:D38"/>
    <mergeCell ref="A1:E1"/>
    <mergeCell ref="A2:E2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FERNANDEZ Francisco</cp:lastModifiedBy>
  <cp:revision>0</cp:revision>
  <dcterms:created xsi:type="dcterms:W3CDTF">2025-12-06T10:44:46Z</dcterms:created>
  <dcterms:modified xsi:type="dcterms:W3CDTF">2025-12-06T11:13:02Z</dcterms:modified>
  <dc:language>en-US</dc:language>
</cp:coreProperties>
</file>